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ed Hasnain\Desktop\Projects - Internship\Finances Micron\"/>
    </mc:Choice>
  </mc:AlternateContent>
  <xr:revisionPtr revIDLastSave="0" documentId="13_ncr:1_{27F1B94F-3365-4CEB-B055-EF02A5D2DE17}" xr6:coauthVersionLast="47" xr6:coauthVersionMax="47" xr10:uidLastSave="{00000000-0000-0000-0000-000000000000}"/>
  <bookViews>
    <workbookView xWindow="-120" yWindow="-120" windowWidth="29040" windowHeight="16440" activeTab="1" xr2:uid="{18BED2B7-6C82-4217-9E47-6A840A28B5C8}"/>
  </bookViews>
  <sheets>
    <sheet name="Assumptions" sheetId="1" r:id="rId1"/>
    <sheet name="Model" sheetId="2" r:id="rId2"/>
    <sheet name="Variance_Bridg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1" i="3" l="1"/>
  <c r="A10" i="3"/>
  <c r="B9" i="3"/>
  <c r="A9" i="3"/>
  <c r="D8" i="3"/>
  <c r="A8" i="3"/>
  <c r="B1" i="3"/>
  <c r="B5" i="2"/>
  <c r="B4" i="2"/>
  <c r="B10" i="2" s="1"/>
  <c r="C10" i="2" s="1"/>
  <c r="D10" i="2" s="1"/>
  <c r="E10" i="2" s="1"/>
  <c r="B3" i="2"/>
  <c r="B9" i="2" s="1"/>
  <c r="B11" i="2" s="1"/>
  <c r="B12" i="2" l="1"/>
  <c r="B13" i="2" s="1"/>
  <c r="C9" i="2"/>
  <c r="D9" i="2" s="1"/>
  <c r="E9" i="2" s="1"/>
  <c r="B3" i="3" l="1"/>
  <c r="C10" i="3" s="1"/>
  <c r="B2" i="3"/>
  <c r="C11" i="2"/>
  <c r="B4" i="3" l="1"/>
  <c r="D11" i="3" s="1"/>
  <c r="B10" i="3"/>
  <c r="C9" i="3"/>
  <c r="D11" i="2"/>
  <c r="C12" i="2"/>
  <c r="C13" i="2" s="1"/>
  <c r="E11" i="2" l="1"/>
  <c r="D12" i="2"/>
  <c r="D13" i="2" s="1"/>
  <c r="E12" i="2" l="1"/>
  <c r="E13" i="2" s="1"/>
  <c r="B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Syed Hasnain</author>
  </authors>
  <commentList>
    <comment ref="B11" authorId="0" shapeId="0" xr:uid="{633064E9-A908-4091-A306-5E5FDDAF4CBF}">
      <text>
        <r>
          <rPr>
            <b/>
            <sz val="9"/>
            <color indexed="81"/>
            <rFont val="Tahoma"/>
            <family val="2"/>
          </rPr>
          <t>Syed Hasnain:</t>
        </r>
        <r>
          <rPr>
            <sz val="9"/>
            <color indexed="81"/>
            <rFont val="Tahoma"/>
            <family val="2"/>
          </rPr>
          <t xml:space="preserve">
Baseline $41,460M = Micron Q3 FY26 revenue (user-provided input)</t>
        </r>
      </text>
    </comment>
  </commentList>
</comments>
</file>

<file path=xl/sharedStrings.xml><?xml version="1.0" encoding="utf-8"?>
<sst xmlns="http://schemas.openxmlformats.org/spreadsheetml/2006/main" count="34" uniqueCount="32">
  <si>
    <t>Micron Chip Shortage Model - Assumptions</t>
  </si>
  <si>
    <t>Metric</t>
  </si>
  <si>
    <t>Bear</t>
  </si>
  <si>
    <t>Base</t>
  </si>
  <si>
    <t>Bull</t>
  </si>
  <si>
    <t>Quarterly Volume Growth %</t>
  </si>
  <si>
    <t>Quarterly Price Growth %</t>
  </si>
  <si>
    <t>Gross Margin %</t>
  </si>
  <si>
    <t xml:space="preserve"> Scenerio Selector</t>
  </si>
  <si>
    <t>Volume Growth %</t>
  </si>
  <si>
    <t>Price Growth %</t>
  </si>
  <si>
    <t>Quarter</t>
  </si>
  <si>
    <t>Q1</t>
  </si>
  <si>
    <t>Q2</t>
  </si>
  <si>
    <t>Q3</t>
  </si>
  <si>
    <t>Q4</t>
  </si>
  <si>
    <t>Volume Index</t>
  </si>
  <si>
    <t>Price Index</t>
  </si>
  <si>
    <t>Revenue ($M)</t>
  </si>
  <si>
    <t>Gross Profit ($M)</t>
  </si>
  <si>
    <t>Gross Margin % (check)</t>
  </si>
  <si>
    <t>Starting Revenue ($M)</t>
  </si>
  <si>
    <t>Volume Effect ($M)</t>
  </si>
  <si>
    <t>Price Effect ($M)</t>
  </si>
  <si>
    <t>Ending Revenue ($M)</t>
  </si>
  <si>
    <t>Check vs Model!E11</t>
  </si>
  <si>
    <t>Bridge Component</t>
  </si>
  <si>
    <t>Revenue Baseline ($M)</t>
  </si>
  <si>
    <t>Base (hidden)</t>
  </si>
  <si>
    <t>Increase</t>
  </si>
  <si>
    <t>Total</t>
  </si>
  <si>
    <t>Baseline: Micron actual Q3 FY26 revenue (quarter ended May 28, 2026), verified.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</si>
</sst>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&quot;$&quot;#,##0;\(&quot;$&quot;#,##0\);\-"/>
    <numFmt numFmtId="166" formatCode="0.0%"/>
    <numFmt numFmtId="167" formatCode="&quot;$&quot;#,##0.00;\(&quot;$&quot;#,##0.00\);\-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F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9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5" fontId="5" fillId="0" borderId="0" xfId="0" applyNumberFormat="1" applyFont="1"/>
    <xf numFmtId="165" fontId="1" fillId="0" borderId="0" xfId="0" applyNumberFormat="1" applyFon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Bridge: Q3 FY26 Baseline to Q4 Projection ($M)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Base (hidden)</c:v>
          </c:tx>
          <c:spPr>
            <a:noFill/>
            <a:ln w="25400">
              <a:noFill/>
            </a:ln>
            <a:effectLst/>
          </c:spPr>
          <c:invertIfNegative val="0"/>
          <c:cat>
            <c:strRef>
              <c:f>Variance_Bridge!$A$8:$A$11</c:f>
              <c:strCache>
                <c:ptCount val="4"/>
                <c:pt idx="0">
                  <c:v>Starting Revenue ($M)</c:v>
                </c:pt>
                <c:pt idx="1">
                  <c:v>Volume Effect ($M)</c:v>
                </c:pt>
                <c:pt idx="2">
                  <c:v>Price Effect ($M)</c:v>
                </c:pt>
                <c:pt idx="3">
                  <c:v>Ending Revenue ($M)</c:v>
                </c:pt>
              </c:strCache>
            </c:strRef>
          </c:cat>
          <c:val>
            <c:numRef>
              <c:f>Variance_Bridge!$B$8:$B$11</c:f>
              <c:numCache>
                <c:formatCode>"$"#,##0;\("$"#,##0\);\-</c:formatCode>
                <c:ptCount val="4"/>
                <c:pt idx="0">
                  <c:v>0</c:v>
                </c:pt>
                <c:pt idx="1">
                  <c:v>41460</c:v>
                </c:pt>
                <c:pt idx="2">
                  <c:v>46663.595262600007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0-4C05-8652-300A06897A1D}"/>
            </c:ext>
          </c:extLst>
        </c:ser>
        <c:ser>
          <c:idx val="1"/>
          <c:order val="1"/>
          <c:tx>
            <c:v>Increase</c:v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Variance_Bridge!$A$8:$A$11</c:f>
              <c:strCache>
                <c:ptCount val="4"/>
                <c:pt idx="0">
                  <c:v>Starting Revenue ($M)</c:v>
                </c:pt>
                <c:pt idx="1">
                  <c:v>Volume Effect ($M)</c:v>
                </c:pt>
                <c:pt idx="2">
                  <c:v>Price Effect ($M)</c:v>
                </c:pt>
                <c:pt idx="3">
                  <c:v>Ending Revenue ($M)</c:v>
                </c:pt>
              </c:strCache>
            </c:strRef>
          </c:cat>
          <c:val>
            <c:numRef>
              <c:f>Variance_Bridge!$C$8:$C$11</c:f>
              <c:numCache>
                <c:formatCode>"$"#,##0;\("$"#,##0\);\-</c:formatCode>
                <c:ptCount val="4"/>
                <c:pt idx="0">
                  <c:v>0</c:v>
                </c:pt>
                <c:pt idx="1">
                  <c:v>5203.5952626000053</c:v>
                </c:pt>
                <c:pt idx="2">
                  <c:v>21656.574561372701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20-4C05-8652-300A06897A1D}"/>
            </c:ext>
          </c:extLst>
        </c:ser>
        <c:ser>
          <c:idx val="2"/>
          <c:order val="2"/>
          <c:tx>
            <c:v>Total</c:v>
          </c:tx>
          <c:spPr>
            <a:solidFill>
              <a:srgbClr val="404040"/>
            </a:solidFill>
            <a:ln>
              <a:noFill/>
            </a:ln>
            <a:effectLst/>
          </c:spPr>
          <c:invertIfNegative val="0"/>
          <c:cat>
            <c:strRef>
              <c:f>Variance_Bridge!$A$8:$A$11</c:f>
              <c:strCache>
                <c:ptCount val="4"/>
                <c:pt idx="0">
                  <c:v>Starting Revenue ($M)</c:v>
                </c:pt>
                <c:pt idx="1">
                  <c:v>Volume Effect ($M)</c:v>
                </c:pt>
                <c:pt idx="2">
                  <c:v>Price Effect ($M)</c:v>
                </c:pt>
                <c:pt idx="3">
                  <c:v>Ending Revenue ($M)</c:v>
                </c:pt>
              </c:strCache>
            </c:strRef>
          </c:cat>
          <c:val>
            <c:numRef>
              <c:f>Variance_Bridge!$D$8:$D$11</c:f>
              <c:numCache>
                <c:formatCode>"$"#,##0;\("$"#,##0\);\-</c:formatCode>
                <c:ptCount val="4"/>
                <c:pt idx="0">
                  <c:v>41460</c:v>
                </c:pt>
                <c:pt idx="1">
                  <c:v>0</c:v>
                </c:pt>
                <c:pt idx="2">
                  <c:v>0</c:v>
                </c:pt>
                <c:pt idx="3">
                  <c:v>68320.169823972712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20-4C05-8652-300A06897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7774527"/>
        <c:axId val="1588044191"/>
      </c:barChart>
      <c:catAx>
        <c:axId val="1527774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044191"/>
        <c:crosses val="autoZero"/>
        <c:auto val="1"/>
        <c:lblAlgn val="ctr"/>
        <c:lblOffset val="100"/>
        <c:noMultiLvlLbl val="0"/>
      </c:catAx>
      <c:valAx>
        <c:axId val="158804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;\(&quot;$&quot;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0C8304-D2EC-7A7C-4905-A72A9E1BDD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AD3AED-1979-4B2A-8C6C-0F258FD59E3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4102271-ca99-408c-8d66-7d77cca8e7ef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D1B1C-4CF5-4B4B-9FCA-A18DA461662A}">
  <dimension ref="A1:D10"/>
  <sheetViews>
    <sheetView workbookViewId="0">
      <selection activeCell="F15" sqref="F15"/>
    </sheetView>
  </sheetViews>
  <sheetFormatPr defaultRowHeight="15"/>
  <cols>
    <col min="1" max="1" width="39.85546875" customWidth="1"/>
  </cols>
  <sheetData>
    <row r="1" spans="1:4">
      <c r="A1" t="s">
        <v>0</v>
      </c>
    </row>
    <row r="3" spans="1:4">
      <c r="A3" t="s">
        <v>1</v>
      </c>
      <c r="B3" s="1" t="s">
        <v>2</v>
      </c>
      <c r="C3" s="1" t="s">
        <v>3</v>
      </c>
      <c r="D3" t="s">
        <v>4</v>
      </c>
    </row>
    <row r="4" spans="1:4">
      <c r="A4" s="1" t="s">
        <v>5</v>
      </c>
      <c r="B4" s="2">
        <v>0.01</v>
      </c>
      <c r="C4" s="2">
        <v>0.03</v>
      </c>
      <c r="D4" s="2">
        <v>0.05</v>
      </c>
    </row>
    <row r="5" spans="1:4">
      <c r="A5" t="s">
        <v>6</v>
      </c>
      <c r="B5" s="2">
        <v>-0.08</v>
      </c>
      <c r="C5" s="2">
        <v>0.1</v>
      </c>
      <c r="D5" s="2">
        <v>0.2</v>
      </c>
    </row>
    <row r="6" spans="1:4">
      <c r="A6" s="1" t="s">
        <v>7</v>
      </c>
      <c r="B6" s="2">
        <v>0.4</v>
      </c>
      <c r="C6" s="2">
        <v>0.65</v>
      </c>
      <c r="D6" s="2">
        <v>0.78</v>
      </c>
    </row>
    <row r="10" spans="1:4">
      <c r="A10" t="s">
        <v>27</v>
      </c>
      <c r="B10" s="8">
        <v>41460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D6C8-C249-456A-A2DA-A93E1E2A350F}">
  <dimension ref="A1:E13"/>
  <sheetViews>
    <sheetView tabSelected="1" workbookViewId="0">
      <selection activeCell="B1" sqref="B1"/>
    </sheetView>
  </sheetViews>
  <sheetFormatPr defaultRowHeight="15"/>
  <cols>
    <col min="1" max="1" width="18.42578125" customWidth="1"/>
  </cols>
  <sheetData>
    <row r="1" spans="1:5">
      <c r="A1" t="s">
        <v>8</v>
      </c>
      <c r="B1" t="s">
        <v>3</v>
      </c>
    </row>
    <row r="3" spans="1:5">
      <c r="A3" t="s">
        <v>9</v>
      </c>
      <c r="B3">
        <f>HLOOKUP($B$1,Assumptions!$B$3:$D$6,2,FALSE)</f>
        <v>0.03</v>
      </c>
    </row>
    <row r="4" spans="1:5">
      <c r="A4" t="s">
        <v>10</v>
      </c>
      <c r="B4">
        <f>HLOOKUP($B$1,Assumptions!$B$3:$D$6,3,FALSE)</f>
        <v>0.1</v>
      </c>
    </row>
    <row r="5" spans="1:5">
      <c r="A5" t="s">
        <v>7</v>
      </c>
      <c r="B5">
        <f>HLOOKUP($B$1,Assumptions!$B$3:$D$6,4,FALSE)</f>
        <v>0.65</v>
      </c>
    </row>
    <row r="8" spans="1:5">
      <c r="A8" s="3" t="s">
        <v>11</v>
      </c>
      <c r="B8" s="4" t="s">
        <v>12</v>
      </c>
      <c r="C8" s="4" t="s">
        <v>13</v>
      </c>
      <c r="D8" s="4" t="s">
        <v>14</v>
      </c>
      <c r="E8" s="4" t="s">
        <v>15</v>
      </c>
    </row>
    <row r="9" spans="1:5">
      <c r="A9" t="s">
        <v>16</v>
      </c>
      <c r="B9" s="5">
        <f>100*(1+B$3)</f>
        <v>103</v>
      </c>
      <c r="C9" s="5">
        <f>B9*(1+$B$3)</f>
        <v>106.09</v>
      </c>
      <c r="D9" s="5">
        <f>C9*(1+$B$3)</f>
        <v>109.2727</v>
      </c>
      <c r="E9" s="5">
        <f>D9*(1+$B$3)</f>
        <v>112.550881</v>
      </c>
    </row>
    <row r="10" spans="1:5">
      <c r="A10" t="s">
        <v>17</v>
      </c>
      <c r="B10" s="5">
        <f>100*(1+B$4)</f>
        <v>110.00000000000001</v>
      </c>
      <c r="C10" s="5">
        <f>B10*(1+$B$4)</f>
        <v>121.00000000000003</v>
      </c>
      <c r="D10" s="5">
        <f>C10*(1+$B$4)</f>
        <v>133.10000000000005</v>
      </c>
      <c r="E10" s="5">
        <f>D10*(1+$B$4)</f>
        <v>146.41000000000008</v>
      </c>
    </row>
    <row r="11" spans="1:5">
      <c r="A11" t="s">
        <v>18</v>
      </c>
      <c r="B11" s="6">
        <f>Assumptions!$B$10*(B9/100)*(B10/100)</f>
        <v>46974.180000000008</v>
      </c>
      <c r="C11" s="6">
        <f>B11*(C9/B9)*(C10/B10)</f>
        <v>53221.745940000015</v>
      </c>
      <c r="D11" s="6">
        <f>C11*(D9/C9)*(D10/C10)</f>
        <v>60300.238150020021</v>
      </c>
      <c r="E11" s="6">
        <f>D11*(E9/D9)*(E10/D10)</f>
        <v>68320.169823972697</v>
      </c>
    </row>
    <row r="12" spans="1:5">
      <c r="A12" t="s">
        <v>19</v>
      </c>
      <c r="B12" s="6">
        <f>B11*$B$5</f>
        <v>30533.217000000004</v>
      </c>
      <c r="C12" s="6">
        <f>C11*$B$5</f>
        <v>34594.134861000013</v>
      </c>
      <c r="D12" s="6">
        <f>D11*$B$5</f>
        <v>39195.154797513016</v>
      </c>
      <c r="E12" s="6">
        <f>E11*$B$5</f>
        <v>44408.110385582258</v>
      </c>
    </row>
    <row r="13" spans="1:5">
      <c r="A13" t="s">
        <v>20</v>
      </c>
      <c r="B13" s="7">
        <f>B12/B11</f>
        <v>0.65</v>
      </c>
      <c r="C13" s="7">
        <f>C12/C11</f>
        <v>0.65</v>
      </c>
      <c r="D13" s="7">
        <f>D12/D11</f>
        <v>0.65</v>
      </c>
      <c r="E13" s="7">
        <f>E12/E11</f>
        <v>0.65</v>
      </c>
    </row>
  </sheetData>
  <dataValidations count="1">
    <dataValidation type="list" allowBlank="1" showInputMessage="1" showErrorMessage="1" sqref="B1" xr:uid="{B3A6CF05-3DE0-4493-BCC3-41CF242A4032}">
      <formula1>"Bear,Base,Bull"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5B8F9-530C-48DC-8DDA-AF440BB4BFEA}">
  <dimension ref="A1:D11"/>
  <sheetViews>
    <sheetView workbookViewId="0">
      <selection activeCell="B1" sqref="B1"/>
    </sheetView>
  </sheetViews>
  <sheetFormatPr defaultRowHeight="15"/>
  <cols>
    <col min="1" max="1" width="20.140625" bestFit="1" customWidth="1"/>
    <col min="2" max="2" width="7.5703125" bestFit="1" customWidth="1"/>
  </cols>
  <sheetData>
    <row r="1" spans="1:4">
      <c r="A1" t="s">
        <v>21</v>
      </c>
      <c r="B1" s="8">
        <f>Assumptions!$B$10</f>
        <v>41460</v>
      </c>
      <c r="C1" t="s">
        <v>31</v>
      </c>
    </row>
    <row r="2" spans="1:4">
      <c r="A2" t="s">
        <v>22</v>
      </c>
      <c r="B2" s="6">
        <f>B1*(Model!E9/100-1)</f>
        <v>5203.5952626000053</v>
      </c>
    </row>
    <row r="3" spans="1:4">
      <c r="A3" t="s">
        <v>23</v>
      </c>
      <c r="B3" s="6">
        <f>B1*(Model!E9/100)*(Model!E10/100-1)</f>
        <v>21656.574561372701</v>
      </c>
    </row>
    <row r="4" spans="1:4">
      <c r="A4" t="s">
        <v>24</v>
      </c>
      <c r="B4" s="9">
        <f>B1+B2+B3</f>
        <v>68320.169823972712</v>
      </c>
    </row>
    <row r="5" spans="1:4">
      <c r="A5" t="s">
        <v>25</v>
      </c>
      <c r="B5" s="10">
        <f>B4-Model!E11</f>
        <v>0</v>
      </c>
    </row>
    <row r="7" spans="1:4">
      <c r="A7" s="3" t="s">
        <v>26</v>
      </c>
      <c r="B7" s="3" t="s">
        <v>28</v>
      </c>
      <c r="C7" s="3" t="s">
        <v>29</v>
      </c>
      <c r="D7" s="3" t="s">
        <v>30</v>
      </c>
    </row>
    <row r="8" spans="1:4">
      <c r="A8" t="str">
        <f>A1</f>
        <v>Starting Revenue ($M)</v>
      </c>
      <c r="B8" s="6">
        <v>0</v>
      </c>
      <c r="C8" s="6">
        <v>0</v>
      </c>
      <c r="D8" s="6">
        <f>$B$1</f>
        <v>41460</v>
      </c>
    </row>
    <row r="9" spans="1:4">
      <c r="A9" t="str">
        <f>A2</f>
        <v>Volume Effect ($M)</v>
      </c>
      <c r="B9" s="6">
        <f>$B$1</f>
        <v>41460</v>
      </c>
      <c r="C9" s="6">
        <f>$B$2</f>
        <v>5203.5952626000053</v>
      </c>
      <c r="D9" s="6">
        <v>0</v>
      </c>
    </row>
    <row r="10" spans="1:4">
      <c r="A10" t="str">
        <f>A3</f>
        <v>Price Effect ($M)</v>
      </c>
      <c r="B10" s="6">
        <f>$B$1+$B$2</f>
        <v>46663.595262600007</v>
      </c>
      <c r="C10" s="6">
        <f>$B$3</f>
        <v>21656.574561372701</v>
      </c>
      <c r="D10" s="6">
        <v>0</v>
      </c>
    </row>
    <row r="11" spans="1:4">
      <c r="A11" t="str">
        <f>A4</f>
        <v>Ending Revenue ($M)</v>
      </c>
      <c r="B11" s="6">
        <v>0</v>
      </c>
      <c r="C11" s="6">
        <v>0</v>
      </c>
      <c r="D11" s="6">
        <f>$B$4</f>
        <v>68320.169823972712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Model</vt:lpstr>
      <vt:lpstr>Variance_Bridge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Hasnain, Syed</dc:creator>
  <cp:lastModifiedBy>Hasnain, Syed</cp:lastModifiedBy>
  <dcterms:created xsi:type="dcterms:W3CDTF">2026-08-02T20:08:11Z</dcterms:created>
  <dcterms:modified xsi:type="dcterms:W3CDTF">2026-08-02T21:37:54Z</dcterms:modified>
</cp:coreProperties>
</file>